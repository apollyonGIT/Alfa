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D:\Test\TestProj\Assets\Tables\"/>
    </mc:Choice>
  </mc:AlternateContent>
  <xr:revisionPtr revIDLastSave="0" documentId="13_ncr:1_{3FB8C654-F786-4FA4-B06F-6BE05E1F3A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rd" sheetId="2" r:id="rId1"/>
    <sheet name="辅表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A7" i="2"/>
  <c r="B6" i="2"/>
  <c r="A6" i="2"/>
  <c r="B5" i="2"/>
  <c r="A5" i="2"/>
  <c r="A4" i="2"/>
  <c r="B4" i="2"/>
</calcChain>
</file>

<file path=xl/sharedStrings.xml><?xml version="1.0" encoding="utf-8"?>
<sst xmlns="http://schemas.openxmlformats.org/spreadsheetml/2006/main" count="52" uniqueCount="33">
  <si>
    <t>id</t>
  </si>
  <si>
    <t>name</t>
  </si>
  <si>
    <t>string</t>
  </si>
  <si>
    <t>名称</t>
  </si>
  <si>
    <t>ID</t>
    <phoneticPr fontId="4" type="noConversion"/>
  </si>
  <si>
    <t>uint key</t>
    <phoneticPr fontId="4" type="noConversion"/>
  </si>
  <si>
    <t>炎爆术</t>
    <phoneticPr fontId="4" type="noConversion"/>
  </si>
  <si>
    <t>time_cost</t>
    <phoneticPr fontId="4" type="noConversion"/>
  </si>
  <si>
    <t>int</t>
    <phoneticPr fontId="4" type="noConversion"/>
  </si>
  <si>
    <t>花费时间</t>
    <phoneticPr fontId="4" type="noConversion"/>
  </si>
  <si>
    <t xml:space="preserve">
元素</t>
    <phoneticPr fontId="4" type="noConversion"/>
  </si>
  <si>
    <t>01</t>
    <phoneticPr fontId="4" type="noConversion"/>
  </si>
  <si>
    <t xml:space="preserve">
流派</t>
    <phoneticPr fontId="4" type="noConversion"/>
  </si>
  <si>
    <t xml:space="preserve">
子流派</t>
    <phoneticPr fontId="4" type="noConversion"/>
  </si>
  <si>
    <t xml:space="preserve">
后缀id</t>
    <phoneticPr fontId="4" type="noConversion"/>
  </si>
  <si>
    <t xml:space="preserve">
30+元素+流派+子流派+后缀id
30+01+01+1+01
</t>
    <phoneticPr fontId="4" type="noConversion"/>
  </si>
  <si>
    <t>1</t>
    <phoneticPr fontId="4" type="noConversion"/>
  </si>
  <si>
    <t>火</t>
    <phoneticPr fontId="4" type="noConversion"/>
  </si>
  <si>
    <t>元素</t>
    <phoneticPr fontId="4" type="noConversion"/>
  </si>
  <si>
    <t>id</t>
    <phoneticPr fontId="4" type="noConversion"/>
  </si>
  <si>
    <t>流派</t>
    <phoneticPr fontId="4" type="noConversion"/>
  </si>
  <si>
    <t>子流派</t>
    <phoneticPr fontId="4" type="noConversion"/>
  </si>
  <si>
    <t>学院</t>
    <phoneticPr fontId="4" type="noConversion"/>
  </si>
  <si>
    <t>本源</t>
    <phoneticPr fontId="4" type="noConversion"/>
  </si>
  <si>
    <t>02</t>
  </si>
  <si>
    <t>03</t>
  </si>
  <si>
    <t>04</t>
  </si>
  <si>
    <t>气</t>
    <phoneticPr fontId="4" type="noConversion"/>
  </si>
  <si>
    <t>土</t>
    <phoneticPr fontId="4" type="noConversion"/>
  </si>
  <si>
    <t>水</t>
    <phoneticPr fontId="4" type="noConversion"/>
  </si>
  <si>
    <t>寒冰箭</t>
    <phoneticPr fontId="4" type="noConversion"/>
  </si>
  <si>
    <t>攻击加速</t>
    <phoneticPr fontId="4" type="noConversion"/>
  </si>
  <si>
    <t>硬石皮肤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</si>
</sst>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1"/>
      <color theme="0"/>
      <name val="等线"/>
      <family val="3"/>
      <charset val="134"/>
      <scheme val="minor"/>
    </font>
    <font>
      <sz val="11"/>
      <color theme="5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i/>
      <sz val="11"/>
      <color theme="6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49" fontId="5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G8" sqref="G8"/>
    </sheetView>
  </sheetViews>
  <sheetFormatPr defaultColWidth="9.125" defaultRowHeight="14.25" x14ac:dyDescent="0.2"/>
  <cols>
    <col min="1" max="1" width="19.125" style="3" customWidth="1"/>
    <col min="2" max="2" width="28" style="3" customWidth="1"/>
    <col min="3" max="3" width="10.875" style="3" customWidth="1"/>
    <col min="4" max="6" width="10.75" style="3" customWidth="1"/>
    <col min="7" max="7" width="19.25" style="3" customWidth="1"/>
    <col min="8" max="8" width="10.5" customWidth="1"/>
  </cols>
  <sheetData>
    <row r="1" spans="1:8" s="1" customFormat="1" x14ac:dyDescent="0.2">
      <c r="A1" s="1" t="s">
        <v>0</v>
      </c>
      <c r="G1" s="1" t="s">
        <v>1</v>
      </c>
      <c r="H1" s="1" t="s">
        <v>7</v>
      </c>
    </row>
    <row r="2" spans="1:8" s="2" customFormat="1" x14ac:dyDescent="0.2">
      <c r="A2" s="2" t="s">
        <v>5</v>
      </c>
      <c r="G2" s="2" t="s">
        <v>2</v>
      </c>
      <c r="H2" s="2" t="s">
        <v>8</v>
      </c>
    </row>
    <row r="3" spans="1:8" s="8" customFormat="1" ht="71.25" x14ac:dyDescent="0.2">
      <c r="A3" s="6" t="s">
        <v>4</v>
      </c>
      <c r="B3" s="7" t="s">
        <v>15</v>
      </c>
      <c r="C3" s="7" t="s">
        <v>10</v>
      </c>
      <c r="D3" s="7" t="s">
        <v>12</v>
      </c>
      <c r="E3" s="7" t="s">
        <v>13</v>
      </c>
      <c r="F3" s="7" t="s">
        <v>14</v>
      </c>
      <c r="G3" s="6" t="s">
        <v>3</v>
      </c>
      <c r="H3" s="6" t="s">
        <v>9</v>
      </c>
    </row>
    <row r="4" spans="1:8" s="3" customFormat="1" x14ac:dyDescent="0.2">
      <c r="A4" s="4" t="str">
        <f>"30" &amp; VLOOKUP(C4, 辅表!A:B, 2, FALSE) &amp; VLOOKUP(D4, 辅表!D:E, 2, FALSE) &amp; VLOOKUP(E4, 辅表!G:H, 2, FALSE) &amp; F4</f>
        <v>300101101</v>
      </c>
      <c r="B4" s="5" t="str">
        <f>G4</f>
        <v>炎爆术</v>
      </c>
      <c r="C4" s="9" t="s">
        <v>17</v>
      </c>
      <c r="D4" s="9" t="s">
        <v>22</v>
      </c>
      <c r="E4" s="9" t="s">
        <v>23</v>
      </c>
      <c r="F4" s="9" t="s">
        <v>11</v>
      </c>
      <c r="G4" s="4" t="s">
        <v>6</v>
      </c>
      <c r="H4" s="3">
        <v>3</v>
      </c>
    </row>
    <row r="5" spans="1:8" s="3" customFormat="1" x14ac:dyDescent="0.2">
      <c r="A5" s="4" t="str">
        <f>"30" &amp; VLOOKUP(C5, 辅表!A:B, 2, FALSE) &amp; VLOOKUP(D5, 辅表!D:E, 2, FALSE) &amp; VLOOKUP(E5, 辅表!G:H, 2, FALSE) &amp; F5</f>
        <v>300201101</v>
      </c>
      <c r="B5" s="5" t="str">
        <f t="shared" ref="B5:B7" si="0">G5</f>
        <v>寒冰箭</v>
      </c>
      <c r="C5" s="9" t="s">
        <v>29</v>
      </c>
      <c r="D5" s="9" t="s">
        <v>22</v>
      </c>
      <c r="E5" s="9" t="s">
        <v>23</v>
      </c>
      <c r="F5" s="9" t="s">
        <v>11</v>
      </c>
      <c r="G5" s="4" t="s">
        <v>30</v>
      </c>
      <c r="H5" s="3">
        <v>3</v>
      </c>
    </row>
    <row r="6" spans="1:8" s="3" customFormat="1" x14ac:dyDescent="0.2">
      <c r="A6" s="4" t="str">
        <f>"30" &amp; VLOOKUP(C6, 辅表!A:B, 2, FALSE) &amp; VLOOKUP(D6, 辅表!D:E, 2, FALSE) &amp; VLOOKUP(E6, 辅表!G:H, 2, FALSE) &amp; F6</f>
        <v>300301101</v>
      </c>
      <c r="B6" s="5" t="str">
        <f t="shared" si="0"/>
        <v>硬石皮肤</v>
      </c>
      <c r="C6" s="9" t="s">
        <v>28</v>
      </c>
      <c r="D6" s="9" t="s">
        <v>22</v>
      </c>
      <c r="E6" s="9" t="s">
        <v>23</v>
      </c>
      <c r="F6" s="9" t="s">
        <v>11</v>
      </c>
      <c r="G6" s="4" t="s">
        <v>32</v>
      </c>
      <c r="H6" s="3">
        <v>3</v>
      </c>
    </row>
    <row r="7" spans="1:8" s="3" customFormat="1" x14ac:dyDescent="0.2">
      <c r="A7" s="4" t="str">
        <f>"30" &amp; VLOOKUP(C7, 辅表!A:B, 2, FALSE) &amp; VLOOKUP(D7, 辅表!D:E, 2, FALSE) &amp; VLOOKUP(E7, 辅表!G:H, 2, FALSE) &amp; F7</f>
        <v>300401101</v>
      </c>
      <c r="B7" s="5" t="str">
        <f t="shared" si="0"/>
        <v>攻击加速</v>
      </c>
      <c r="C7" s="9" t="s">
        <v>27</v>
      </c>
      <c r="D7" s="9" t="s">
        <v>22</v>
      </c>
      <c r="E7" s="9" t="s">
        <v>23</v>
      </c>
      <c r="F7" s="9" t="s">
        <v>11</v>
      </c>
      <c r="G7" s="4" t="s">
        <v>31</v>
      </c>
      <c r="H7" s="3">
        <v>3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738F3-8024-4E2A-84BD-E3D75A928311}">
  <dimension ref="A1:H8"/>
  <sheetViews>
    <sheetView workbookViewId="0">
      <selection activeCell="D11" sqref="D11"/>
    </sheetView>
  </sheetViews>
  <sheetFormatPr defaultRowHeight="14.25" x14ac:dyDescent="0.2"/>
  <cols>
    <col min="1" max="1" width="15.375" style="11" customWidth="1"/>
    <col min="2" max="2" width="15.375" style="12" customWidth="1"/>
    <col min="4" max="4" width="15.375" style="11" customWidth="1"/>
    <col min="5" max="5" width="15.375" style="12" customWidth="1"/>
    <col min="7" max="7" width="15.375" style="11" customWidth="1"/>
    <col min="8" max="8" width="15.375" style="12" customWidth="1"/>
  </cols>
  <sheetData>
    <row r="1" spans="1:8" x14ac:dyDescent="0.2">
      <c r="A1" s="1" t="s">
        <v>18</v>
      </c>
      <c r="B1" s="1" t="s">
        <v>19</v>
      </c>
      <c r="D1" s="1" t="s">
        <v>20</v>
      </c>
      <c r="E1" s="1" t="s">
        <v>19</v>
      </c>
      <c r="G1" s="1" t="s">
        <v>21</v>
      </c>
      <c r="H1" s="1" t="s">
        <v>19</v>
      </c>
    </row>
    <row r="2" spans="1:8" x14ac:dyDescent="0.2">
      <c r="A2" s="10" t="s">
        <v>17</v>
      </c>
      <c r="B2" s="13" t="s">
        <v>11</v>
      </c>
      <c r="D2" s="10" t="s">
        <v>22</v>
      </c>
      <c r="E2" s="13" t="s">
        <v>11</v>
      </c>
      <c r="G2" s="10" t="s">
        <v>23</v>
      </c>
      <c r="H2" s="13" t="s">
        <v>16</v>
      </c>
    </row>
    <row r="3" spans="1:8" x14ac:dyDescent="0.2">
      <c r="A3" s="10" t="s">
        <v>29</v>
      </c>
      <c r="B3" s="13" t="s">
        <v>24</v>
      </c>
      <c r="D3" s="10"/>
      <c r="E3" s="13"/>
      <c r="G3" s="10"/>
      <c r="H3" s="13"/>
    </row>
    <row r="4" spans="1:8" x14ac:dyDescent="0.2">
      <c r="A4" s="10" t="s">
        <v>28</v>
      </c>
      <c r="B4" s="13" t="s">
        <v>25</v>
      </c>
      <c r="D4" s="10"/>
      <c r="E4" s="13"/>
      <c r="G4" s="10"/>
      <c r="H4" s="13"/>
    </row>
    <row r="5" spans="1:8" x14ac:dyDescent="0.2">
      <c r="A5" s="10" t="s">
        <v>27</v>
      </c>
      <c r="B5" s="13" t="s">
        <v>26</v>
      </c>
      <c r="D5" s="10"/>
      <c r="E5" s="13"/>
      <c r="G5" s="10"/>
      <c r="H5" s="13"/>
    </row>
    <row r="6" spans="1:8" x14ac:dyDescent="0.2">
      <c r="A6" s="10"/>
      <c r="B6" s="13"/>
    </row>
    <row r="7" spans="1:8" x14ac:dyDescent="0.2">
      <c r="A7" s="10"/>
      <c r="B7" s="13"/>
    </row>
    <row r="8" spans="1:8" x14ac:dyDescent="0.2">
      <c r="A8" s="10"/>
      <c r="B8" s="1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card</vt:lpstr>
      <vt:lpstr>辅表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</dc:creator>
  <cp:lastModifiedBy>xiao cheng</cp:lastModifiedBy>
  <dcterms:created xsi:type="dcterms:W3CDTF">2015-06-05T18:19:00Z</dcterms:created>
  <dcterms:modified xsi:type="dcterms:W3CDTF">2024-08-23T07:06:53Z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3C74A27F2FB748ED9AFFF5EE5A04D3FA</vt:lpwstr>
  </property>
  <property fmtid="{D5CDD505-2E9C-101B-9397-08002B2CF9AE}" pid="3" name="KSOProductBuildVer">
    <vt:lpwstr>2052-12.1.0.16120</vt:lpwstr>
  </property>
</Properties>
</file>