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/>
  <mc:AlternateContent xmlns:mc="http://schemas.openxmlformats.org/markup-compatibility/2006">
    <mc:Choice Requires="x15">
      <x15ac:absPath xmlns:x15ac="http://schemas.microsoft.com/office/spreadsheetml/2010/11/ac" url="D:\Test\TestProj\Assets\Tables\"/>
    </mc:Choice>
  </mc:AlternateContent>
  <xr:revisionPtr revIDLastSave="0" documentId="13_ncr:1_{04AFCD1E-32EC-442A-BCC2-D340729D067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" sheetId="2" r:id="rId1"/>
    <sheet name="辅表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" l="1"/>
  <c r="B5" i="2"/>
</calcChain>
</file>

<file path=xl/sharedStrings.xml><?xml version="1.0" encoding="utf-8"?>
<sst xmlns="http://schemas.openxmlformats.org/spreadsheetml/2006/main" count="36" uniqueCount="29">
  <si>
    <t>id</t>
  </si>
  <si>
    <t>name</t>
  </si>
  <si>
    <t>string</t>
  </si>
  <si>
    <t>名称</t>
  </si>
  <si>
    <t>ID</t>
    <phoneticPr fontId="4" type="noConversion"/>
  </si>
  <si>
    <t>uint key</t>
    <phoneticPr fontId="4" type="noConversion"/>
  </si>
  <si>
    <t>炎爆术</t>
    <phoneticPr fontId="4" type="noConversion"/>
  </si>
  <si>
    <t>#enum elementType: int{Fire=1,Water=2,Soil=3,Air=4}</t>
    <phoneticPr fontId="4" type="noConversion"/>
  </si>
  <si>
    <t>element</t>
    <phoneticPr fontId="4" type="noConversion"/>
  </si>
  <si>
    <t>elementType</t>
    <phoneticPr fontId="4" type="noConversion"/>
  </si>
  <si>
    <t>元素</t>
    <phoneticPr fontId="4" type="noConversion"/>
  </si>
  <si>
    <t>Fire</t>
    <phoneticPr fontId="4" type="noConversion"/>
  </si>
  <si>
    <t>time_cost</t>
    <phoneticPr fontId="4" type="noConversion"/>
  </si>
  <si>
    <t>int</t>
    <phoneticPr fontId="4" type="noConversion"/>
  </si>
  <si>
    <t>花费时间</t>
    <phoneticPr fontId="4" type="noConversion"/>
  </si>
  <si>
    <t xml:space="preserve">
元素</t>
    <phoneticPr fontId="4" type="noConversion"/>
  </si>
  <si>
    <t>01</t>
    <phoneticPr fontId="4" type="noConversion"/>
  </si>
  <si>
    <t xml:space="preserve">
流派</t>
    <phoneticPr fontId="4" type="noConversion"/>
  </si>
  <si>
    <t xml:space="preserve">
子流派</t>
    <phoneticPr fontId="4" type="noConversion"/>
  </si>
  <si>
    <t xml:space="preserve">
后缀id</t>
    <phoneticPr fontId="4" type="noConversion"/>
  </si>
  <si>
    <t xml:space="preserve">
30+元素+流派+子流派+后缀id
30+01+01+1+01
</t>
    <phoneticPr fontId="4" type="noConversion"/>
  </si>
  <si>
    <t>1</t>
    <phoneticPr fontId="4" type="noConversion"/>
  </si>
  <si>
    <t>火</t>
    <phoneticPr fontId="4" type="noConversion"/>
  </si>
  <si>
    <t>元素</t>
    <phoneticPr fontId="4" type="noConversion"/>
  </si>
  <si>
    <t>id</t>
    <phoneticPr fontId="4" type="noConversion"/>
  </si>
  <si>
    <t>流派</t>
    <phoneticPr fontId="4" type="noConversion"/>
  </si>
  <si>
    <t>子流派</t>
    <phoneticPr fontId="4" type="noConversion"/>
  </si>
  <si>
    <t>学院</t>
    <phoneticPr fontId="4" type="noConversion"/>
  </si>
  <si>
    <t>本源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</si>
</sst>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charset val="134"/>
      <scheme val="minor"/>
    </font>
    <font>
      <sz val="11"/>
      <color theme="0"/>
      <name val="等线"/>
      <family val="3"/>
      <charset val="134"/>
      <scheme val="minor"/>
    </font>
    <font>
      <sz val="11"/>
      <color theme="5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i/>
      <sz val="11"/>
      <color theme="6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 wrapText="1"/>
    </xf>
    <xf numFmtId="0" fontId="3" fillId="0" borderId="0" xfId="0" applyFont="1"/>
    <xf numFmtId="0" fontId="0" fillId="3" borderId="0" xfId="0" applyFill="1" applyAlignment="1">
      <alignment horizontal="center" vertical="center"/>
    </xf>
    <xf numFmtId="49" fontId="6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>
      <selection activeCell="M9" sqref="M9"/>
    </sheetView>
  </sheetViews>
  <sheetFormatPr defaultColWidth="9.125" defaultRowHeight="14.25" x14ac:dyDescent="0.2"/>
  <cols>
    <col min="1" max="1" width="19.125" style="3" customWidth="1"/>
    <col min="2" max="2" width="28" style="3" customWidth="1"/>
    <col min="3" max="3" width="10.875" style="3" customWidth="1"/>
    <col min="4" max="6" width="10.75" style="3" customWidth="1"/>
    <col min="7" max="7" width="19.25" style="3" customWidth="1"/>
    <col min="8" max="8" width="14.375" customWidth="1"/>
    <col min="9" max="9" width="10.5" customWidth="1"/>
  </cols>
  <sheetData>
    <row r="1" spans="1:9" x14ac:dyDescent="0.2">
      <c r="A1" s="10" t="s">
        <v>7</v>
      </c>
      <c r="B1" s="6"/>
      <c r="C1" s="6"/>
      <c r="D1" s="6"/>
      <c r="E1" s="6"/>
      <c r="F1" s="6"/>
      <c r="G1" s="6"/>
    </row>
    <row r="2" spans="1:9" s="1" customFormat="1" x14ac:dyDescent="0.2">
      <c r="A2" s="1" t="s">
        <v>0</v>
      </c>
      <c r="G2" s="1" t="s">
        <v>1</v>
      </c>
      <c r="H2" s="1" t="s">
        <v>8</v>
      </c>
      <c r="I2" s="1" t="s">
        <v>12</v>
      </c>
    </row>
    <row r="3" spans="1:9" s="2" customFormat="1" x14ac:dyDescent="0.2">
      <c r="A3" s="2" t="s">
        <v>5</v>
      </c>
      <c r="G3" s="2" t="s">
        <v>2</v>
      </c>
      <c r="H3" s="2" t="s">
        <v>9</v>
      </c>
      <c r="I3" s="2" t="s">
        <v>13</v>
      </c>
    </row>
    <row r="4" spans="1:9" s="11" customFormat="1" ht="71.25" x14ac:dyDescent="0.2">
      <c r="A4" s="8" t="s">
        <v>4</v>
      </c>
      <c r="B4" s="9" t="s">
        <v>20</v>
      </c>
      <c r="C4" s="9" t="s">
        <v>15</v>
      </c>
      <c r="D4" s="9" t="s">
        <v>17</v>
      </c>
      <c r="E4" s="9" t="s">
        <v>18</v>
      </c>
      <c r="F4" s="9" t="s">
        <v>19</v>
      </c>
      <c r="G4" s="8" t="s">
        <v>3</v>
      </c>
      <c r="H4" s="8" t="s">
        <v>10</v>
      </c>
      <c r="I4" s="8" t="s">
        <v>14</v>
      </c>
    </row>
    <row r="5" spans="1:9" s="3" customFormat="1" x14ac:dyDescent="0.2">
      <c r="A5" s="4" t="str">
        <f>"30"&amp; VLOOKUP(C5, 辅表!A:B, 2) &amp; VLOOKUP(D5, 辅表!D:E, 2) &amp; VLOOKUP(E5, 辅表!G:H, 2) &amp;F5</f>
        <v>300101101</v>
      </c>
      <c r="B5" s="7" t="str">
        <f>G5</f>
        <v>炎爆术</v>
      </c>
      <c r="C5" s="12" t="s">
        <v>22</v>
      </c>
      <c r="D5" s="12" t="s">
        <v>27</v>
      </c>
      <c r="E5" s="12" t="s">
        <v>28</v>
      </c>
      <c r="F5" s="12" t="s">
        <v>16</v>
      </c>
      <c r="G5" s="4" t="s">
        <v>6</v>
      </c>
      <c r="H5" s="4" t="s">
        <v>11</v>
      </c>
      <c r="I5" s="3">
        <v>2</v>
      </c>
    </row>
    <row r="6" spans="1:9" s="3" customFormat="1" x14ac:dyDescent="0.2">
      <c r="A6" s="4"/>
      <c r="B6" s="4"/>
      <c r="C6" s="4"/>
      <c r="D6" s="4"/>
      <c r="E6" s="4"/>
      <c r="F6" s="4"/>
      <c r="G6" s="4"/>
      <c r="H6" s="5"/>
    </row>
    <row r="7" spans="1:9" s="3" customFormat="1" x14ac:dyDescent="0.2">
      <c r="A7" s="4"/>
      <c r="B7" s="4"/>
      <c r="C7" s="4"/>
      <c r="D7" s="4"/>
      <c r="E7" s="4"/>
      <c r="F7" s="4"/>
      <c r="G7" s="4"/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738F3-8024-4E2A-84BD-E3D75A928311}">
  <dimension ref="A1:H5"/>
  <sheetViews>
    <sheetView workbookViewId="0">
      <selection activeCell="F18" sqref="F18"/>
    </sheetView>
  </sheetViews>
  <sheetFormatPr defaultRowHeight="14.25" x14ac:dyDescent="0.2"/>
  <cols>
    <col min="1" max="1" width="15.375" style="14" customWidth="1"/>
    <col min="2" max="2" width="15.375" style="15" customWidth="1"/>
    <col min="4" max="4" width="15.375" style="14" customWidth="1"/>
    <col min="5" max="5" width="15.375" style="15" customWidth="1"/>
    <col min="7" max="7" width="15.375" style="14" customWidth="1"/>
    <col min="8" max="8" width="15.375" style="15" customWidth="1"/>
  </cols>
  <sheetData>
    <row r="1" spans="1:8" x14ac:dyDescent="0.2">
      <c r="A1" s="1" t="s">
        <v>23</v>
      </c>
      <c r="B1" s="1" t="s">
        <v>24</v>
      </c>
      <c r="D1" s="1" t="s">
        <v>25</v>
      </c>
      <c r="E1" s="1" t="s">
        <v>24</v>
      </c>
      <c r="G1" s="1" t="s">
        <v>26</v>
      </c>
      <c r="H1" s="1" t="s">
        <v>24</v>
      </c>
    </row>
    <row r="2" spans="1:8" x14ac:dyDescent="0.2">
      <c r="A2" s="13" t="s">
        <v>22</v>
      </c>
      <c r="B2" s="16" t="s">
        <v>16</v>
      </c>
      <c r="D2" s="13" t="s">
        <v>27</v>
      </c>
      <c r="E2" s="16" t="s">
        <v>16</v>
      </c>
      <c r="G2" s="13" t="s">
        <v>28</v>
      </c>
      <c r="H2" s="16" t="s">
        <v>21</v>
      </c>
    </row>
    <row r="3" spans="1:8" x14ac:dyDescent="0.2">
      <c r="A3" s="13"/>
      <c r="B3" s="16"/>
      <c r="D3" s="13"/>
      <c r="E3" s="16"/>
      <c r="G3" s="13"/>
      <c r="H3" s="16"/>
    </row>
    <row r="4" spans="1:8" x14ac:dyDescent="0.2">
      <c r="A4" s="13"/>
      <c r="B4" s="16"/>
      <c r="D4" s="13"/>
      <c r="E4" s="16"/>
      <c r="G4" s="13"/>
      <c r="H4" s="16"/>
    </row>
    <row r="5" spans="1:8" x14ac:dyDescent="0.2">
      <c r="A5" s="13"/>
      <c r="B5" s="16"/>
      <c r="D5" s="13"/>
      <c r="E5" s="16"/>
      <c r="G5" s="13"/>
      <c r="H5" s="16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card</vt:lpstr>
      <vt:lpstr>辅表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xiao cheng</cp:lastModifiedBy>
  <dcterms:created xsi:type="dcterms:W3CDTF">2015-06-05T18:19:00Z</dcterms:created>
  <dcterms:modified xsi:type="dcterms:W3CDTF">2024-08-22T10:15:50Z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3C74A27F2FB748ED9AFFF5EE5A04D3FA</vt:lpwstr>
  </property>
  <property fmtid="{D5CDD505-2E9C-101B-9397-08002B2CF9AE}" pid="3" name="KSOProductBuildVer">
    <vt:lpwstr>2052-12.1.0.16120</vt:lpwstr>
  </property>
</Properties>
</file>