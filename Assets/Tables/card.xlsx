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A5F05387-051D-4B51-9C04-8A8B87104E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2" r:id="rId1"/>
    <sheet name="辅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</calcChain>
</file>

<file path=xl/sharedStrings.xml><?xml version="1.0" encoding="utf-8"?>
<sst xmlns="http://schemas.openxmlformats.org/spreadsheetml/2006/main" count="36" uniqueCount="29">
  <si>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</si>
  <si>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</si>
  <si>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</si>
  <si>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</si>
  <si>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</si>
  <si>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</si>
  <si>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>炎爆术</t>
    <phoneticPr fontId="4" type="noConversion"/>
  </si>
  <si>
    <t>#enum elementType: int{Fire=1,Water=2,Soil=3,Air=4}</t>
    <phoneticPr fontId="4" type="noConversion"/>
  </si>
  <si>
    <t>element</t>
    <phoneticPr fontId="4" type="noConversion"/>
  </si>
  <si>
    <t>elementType</t>
    <phoneticPr fontId="4" type="noConversion"/>
  </si>
  <si>
    <t>元素</t>
    <phoneticPr fontId="4" type="noConversion"/>
  </si>
  <si>
    <t>Fire</t>
    <phoneticPr fontId="4" type="noConversion"/>
  </si>
  <si>
    <t>time_cost</t>
    <phoneticPr fontId="4" type="noConversion"/>
  </si>
  <si>
    <t>int</t>
    <phoneticPr fontId="4" type="noConversion"/>
  </si>
  <si>
    <t>花费时间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</si>
  <si>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</si>
  <si>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</si>
  <si>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</si>
  <si>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</si>
  <si>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</si>
  <si>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</si>
  <si>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</si>
  <si>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</si>
  <si>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</si>
  <si>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</si>
  <si>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</si>
  <si>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</si>
  <si>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学院</t>
    <phoneticPr fontId="4" type="noConversion"/>
  </si>
  <si>
    <t>本源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</si>
</sst>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A6" sqref="A6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4.375" customWidth="1"/>
    <col min="9" max="9" width="10.5" customWidth="1"/>
  </cols>
  <sheetData>
    <row r="1" spans="1:9" x14ac:dyDescent="0.2">
      <c r="A1" s="10" t="s">
        <v>7</v>
      </c>
      <c r="B1" s="6"/>
      <c r="C1" s="6"/>
      <c r="D1" s="6"/>
      <c r="E1" s="6"/>
      <c r="F1" s="6"/>
      <c r="G1" s="6"/>
    </row>
    <row r="2" spans="1:9" s="1" customFormat="1" x14ac:dyDescent="0.2">
      <c r="A2" s="1" t="s">
        <v>0</v>
      </c>
      <c r="G2" s="1" t="s">
        <v>1</v>
      </c>
      <c r="H2" s="1" t="s">
        <v>8</v>
      </c>
      <c r="I2" s="1" t="s">
        <v>12</v>
      </c>
    </row>
    <row r="3" spans="1:9" s="2" customFormat="1" x14ac:dyDescent="0.2">
      <c r="A3" s="2" t="s">
        <v>5</v>
      </c>
      <c r="G3" s="2" t="s">
        <v>2</v>
      </c>
      <c r="H3" s="2" t="s">
        <v>9</v>
      </c>
      <c r="I3" s="2" t="s">
        <v>13</v>
      </c>
    </row>
    <row r="4" spans="1:9" s="11" customFormat="1" ht="71.25" x14ac:dyDescent="0.2">
      <c r="A4" s="8" t="s">
        <v>4</v>
      </c>
      <c r="B4" s="9" t="s">
        <v>20</v>
      </c>
      <c r="C4" s="9" t="s">
        <v>15</v>
      </c>
      <c r="D4" s="9" t="s">
        <v>17</v>
      </c>
      <c r="E4" s="9" t="s">
        <v>18</v>
      </c>
      <c r="F4" s="9" t="s">
        <v>19</v>
      </c>
      <c r="G4" s="8" t="s">
        <v>3</v>
      </c>
      <c r="H4" s="8" t="s">
        <v>10</v>
      </c>
      <c r="I4" s="8" t="s">
        <v>14</v>
      </c>
    </row>
    <row r="5" spans="1:9" s="3" customFormat="1" x14ac:dyDescent="0.2">
      <c r="A5" s="4" t="str">
        <f>"30" &amp; VLOOKUP(C5, 辅表!A:B, 2) &amp; VLOOKUP(D5, 辅表!D:E, 2) &amp; VLOOKUP(E5, 辅表!G:H, 2) &amp; F5</f>
        <v>300101101</v>
      </c>
      <c r="B5" s="7" t="str">
        <f>G5</f>
        <v>炎爆术</v>
      </c>
      <c r="C5" s="12" t="s">
        <v>22</v>
      </c>
      <c r="D5" s="12" t="s">
        <v>27</v>
      </c>
      <c r="E5" s="12" t="s">
        <v>28</v>
      </c>
      <c r="F5" s="12" t="s">
        <v>16</v>
      </c>
      <c r="G5" s="4" t="s">
        <v>6</v>
      </c>
      <c r="H5" s="4" t="s">
        <v>11</v>
      </c>
      <c r="I5" s="3">
        <v>2</v>
      </c>
    </row>
    <row r="6" spans="1:9" s="3" customFormat="1" x14ac:dyDescent="0.2">
      <c r="A6" s="4"/>
      <c r="B6" s="4"/>
      <c r="C6" s="4"/>
      <c r="D6" s="4"/>
      <c r="E6" s="4"/>
      <c r="F6" s="4"/>
      <c r="G6" s="4"/>
      <c r="H6" s="5"/>
    </row>
    <row r="7" spans="1:9" s="3" customFormat="1" x14ac:dyDescent="0.2">
      <c r="A7" s="4"/>
      <c r="B7" s="4"/>
      <c r="C7" s="4"/>
      <c r="D7" s="4"/>
      <c r="E7" s="4"/>
      <c r="F7" s="4"/>
      <c r="G7" s="4"/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5"/>
  <sheetViews>
    <sheetView workbookViewId="0">
      <selection activeCell="F18" sqref="F18"/>
    </sheetView>
  </sheetViews>
  <sheetFormatPr defaultRowHeight="14.25" x14ac:dyDescent="0.2"/>
  <cols>
    <col min="1" max="1" width="15.375" style="14" customWidth="1"/>
    <col min="2" max="2" width="15.375" style="15" customWidth="1"/>
    <col min="4" max="4" width="15.375" style="14" customWidth="1"/>
    <col min="5" max="5" width="15.375" style="15" customWidth="1"/>
    <col min="7" max="7" width="15.375" style="14" customWidth="1"/>
    <col min="8" max="8" width="15.375" style="15" customWidth="1"/>
  </cols>
  <sheetData>
    <row r="1" spans="1:8" x14ac:dyDescent="0.2">
      <c r="A1" s="1" t="s">
        <v>23</v>
      </c>
      <c r="B1" s="1" t="s">
        <v>24</v>
      </c>
      <c r="D1" s="1" t="s">
        <v>25</v>
      </c>
      <c r="E1" s="1" t="s">
        <v>24</v>
      </c>
      <c r="G1" s="1" t="s">
        <v>26</v>
      </c>
      <c r="H1" s="1" t="s">
        <v>24</v>
      </c>
    </row>
    <row r="2" spans="1:8" x14ac:dyDescent="0.2">
      <c r="A2" s="13" t="s">
        <v>22</v>
      </c>
      <c r="B2" s="16" t="s">
        <v>16</v>
      </c>
      <c r="D2" s="13" t="s">
        <v>27</v>
      </c>
      <c r="E2" s="16" t="s">
        <v>16</v>
      </c>
      <c r="G2" s="13" t="s">
        <v>28</v>
      </c>
      <c r="H2" s="16" t="s">
        <v>21</v>
      </c>
    </row>
    <row r="3" spans="1:8" x14ac:dyDescent="0.2">
      <c r="A3" s="13"/>
      <c r="B3" s="16"/>
      <c r="D3" s="13"/>
      <c r="E3" s="16"/>
      <c r="G3" s="13"/>
      <c r="H3" s="16"/>
    </row>
    <row r="4" spans="1:8" x14ac:dyDescent="0.2">
      <c r="A4" s="13"/>
      <c r="B4" s="16"/>
      <c r="D4" s="13"/>
      <c r="E4" s="16"/>
      <c r="G4" s="13"/>
      <c r="H4" s="16"/>
    </row>
    <row r="5" spans="1:8" x14ac:dyDescent="0.2">
      <c r="A5" s="13"/>
      <c r="B5" s="16"/>
      <c r="D5" s="13"/>
      <c r="E5" s="16"/>
      <c r="G5" s="13"/>
      <c r="H5" s="16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2024-08-22T10:17:09Z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