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FB8FC6C3-22C1-47D3-8EE6-5A0B510D304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ard" sheetId="2" r:id="rId1"/>
    <sheet name="deck" sheetId="5" r:id="rId2"/>
    <sheet name="辅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7" i="5"/>
  <c r="A6" i="5"/>
  <c r="A5" i="5"/>
  <c r="A4" i="5"/>
  <c r="A6" i="2"/>
  <c r="A5" i="2" l="1"/>
  <c r="B9" i="2"/>
  <c r="A9" i="2"/>
  <c r="B6" i="2"/>
  <c r="B8" i="2"/>
  <c r="A8" i="2"/>
  <c r="B7" i="2"/>
  <c r="A7" i="2"/>
  <c r="B5" i="2"/>
</calcChain>
</file>

<file path=xl/sharedStrings.xml><?xml version="1.0" encoding="utf-8"?>
<sst xmlns="http://schemas.openxmlformats.org/spreadsheetml/2006/main" count="77" uniqueCount="42">
  <si>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</si>
  <si>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</si>
  <si>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</si>
  <si>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</si>
  <si>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</si>
  <si>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</si>
  <si>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</si>
  <si>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</si>
  <si>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</si>
  <si>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</si>
  <si>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</si>
  <si>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</si>
  <si>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</si>
  <si>
    <t>火</t>
    <phoneticPr fontId="4" type="noConversion"/>
  </si>
  <si>
    <t>元素</t>
    <phoneticPr fontId="4" type="noConversion"/>
  </si>
  <si>
    <t>id</t>
    <phoneticPr fontId="4" type="noConversion"/>
  </si>
  <si>
    <t>流派</t>
    <phoneticPr fontId="4" type="noConversion"/>
  </si>
  <si>
    <t>子流派</t>
    <phoneticPr fontId="4" type="noConversion"/>
  </si>
  <si>
    <t>02</t>
  </si>
  <si>
    <t>03</t>
  </si>
  <si>
    <t>04</t>
  </si>
  <si>
    <t>土</t>
    <phoneticPr fontId="4" type="noConversion"/>
  </si>
  <si>
    <t>水</t>
    <phoneticPr fontId="4" type="noConversion"/>
  </si>
  <si>
    <t>level</t>
    <phoneticPr fontId="4" type="noConversion"/>
  </si>
  <si>
    <t>levelType</t>
    <phoneticPr fontId="4" type="noConversion"/>
  </si>
  <si>
    <t>等级</t>
    <phoneticPr fontId="4" type="noConversion"/>
  </si>
  <si>
    <t>搬运法</t>
    <phoneticPr fontId="4" type="noConversion"/>
  </si>
  <si>
    <t>召唤</t>
    <phoneticPr fontId="4" type="noConversion"/>
  </si>
  <si>
    <t>金</t>
    <phoneticPr fontId="4" type="noConversion"/>
  </si>
  <si>
    <t>木</t>
    <phoneticPr fontId="4" type="noConversion"/>
  </si>
  <si>
    <t>05</t>
    <phoneticPr fontId="4" type="noConversion"/>
  </si>
  <si>
    <t>#enum levelType: int { 人阶下=1, 人阶中=2, 人阶上=3, 地阶下=4, 地阶中=5, 地阶上=6, 天阶下=7, 天阶中=8, 天阶上=9 }</t>
    <phoneticPr fontId="4" type="noConversion"/>
  </si>
  <si>
    <t>地阶下</t>
    <phoneticPr fontId="4" type="noConversion"/>
  </si>
  <si>
    <t>AA</t>
    <phoneticPr fontId="4" type="noConversion"/>
  </si>
  <si>
    <t>BB</t>
    <phoneticPr fontId="4" type="noConversion"/>
  </si>
  <si>
    <t>CC</t>
    <phoneticPr fontId="4" type="noConversion"/>
  </si>
  <si>
    <t>DD</t>
    <phoneticPr fontId="4" type="noConversion"/>
  </si>
  <si>
    <t>EE</t>
    <phoneticPr fontId="4" type="noConversion"/>
  </si>
  <si>
    <t>count</t>
    <phoneticPr fontId="4" type="noConversion"/>
  </si>
  <si>
    <t>int</t>
    <phoneticPr fontId="4" type="noConversion"/>
  </si>
  <si>
    <t>数量</t>
    <phoneticPr fontId="4" type="noConversion"/>
  </si>
  <si>
    <t>填入：卡牌名称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</si>
</sst>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4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>
      <selection activeCell="A7" sqref="A7"/>
    </sheetView>
  </sheetViews>
  <sheetFormatPr defaultColWidth="9.125" defaultRowHeight="14.25" x14ac:dyDescent="0.2"/>
  <cols>
    <col min="1" max="1" width="19.125" style="3" customWidth="1"/>
    <col min="2" max="2" width="28" style="3" customWidth="1"/>
    <col min="3" max="3" width="10.875" style="3" customWidth="1"/>
    <col min="4" max="6" width="10.75" style="3" customWidth="1"/>
    <col min="7" max="7" width="19.25" style="3" customWidth="1"/>
    <col min="8" max="8" width="13.5" customWidth="1"/>
  </cols>
  <sheetData>
    <row r="1" spans="1:8" s="15" customFormat="1" x14ac:dyDescent="0.2">
      <c r="A1" s="15" t="s">
        <v>31</v>
      </c>
    </row>
    <row r="2" spans="1:8" s="1" customFormat="1" x14ac:dyDescent="0.2">
      <c r="A2" s="1" t="s">
        <v>0</v>
      </c>
      <c r="G2" s="1" t="s">
        <v>1</v>
      </c>
      <c r="H2" s="1" t="s">
        <v>23</v>
      </c>
    </row>
    <row r="3" spans="1:8" s="2" customFormat="1" x14ac:dyDescent="0.2">
      <c r="A3" s="2" t="s">
        <v>5</v>
      </c>
      <c r="G3" s="2" t="s">
        <v>2</v>
      </c>
      <c r="H3" s="2" t="s">
        <v>24</v>
      </c>
    </row>
    <row r="4" spans="1:8" s="8" customFormat="1" ht="71.25" x14ac:dyDescent="0.2">
      <c r="A4" s="6" t="s">
        <v>4</v>
      </c>
      <c r="B4" s="7" t="s">
        <v>11</v>
      </c>
      <c r="C4" s="7" t="s">
        <v>6</v>
      </c>
      <c r="D4" s="7" t="s">
        <v>8</v>
      </c>
      <c r="E4" s="7" t="s">
        <v>9</v>
      </c>
      <c r="F4" s="7" t="s">
        <v>10</v>
      </c>
      <c r="G4" s="6" t="s">
        <v>3</v>
      </c>
      <c r="H4" s="6" t="s">
        <v>25</v>
      </c>
    </row>
    <row r="5" spans="1:8" s="3" customFormat="1" x14ac:dyDescent="0.2">
      <c r="A5" s="4" t="str">
        <f>"30" &amp; VLOOKUP(C5, 辅表!A:B, 2, FALSE) &amp; VLOOKUP(D5, 辅表!D:E, 2, FALSE) &amp; VLOOKUP(E5, 辅表!G:H, 2, FALSE) &amp; F5</f>
        <v>300401101</v>
      </c>
      <c r="B5" s="5" t="str">
        <f>G5</f>
        <v>AA</v>
      </c>
      <c r="C5" s="9" t="s">
        <v>29</v>
      </c>
      <c r="D5" s="9" t="s">
        <v>26</v>
      </c>
      <c r="E5" s="9" t="s">
        <v>27</v>
      </c>
      <c r="F5" s="9" t="s">
        <v>7</v>
      </c>
      <c r="G5" s="4" t="s">
        <v>33</v>
      </c>
      <c r="H5" s="4" t="s">
        <v>32</v>
      </c>
    </row>
    <row r="6" spans="1:8" s="3" customFormat="1" x14ac:dyDescent="0.2">
      <c r="A6" s="4" t="str">
        <f>"30" &amp; VLOOKUP(C6, 辅表!A:B, 2, FALSE) &amp; VLOOKUP(D6, 辅表!D:E, 2, FALSE) &amp; VLOOKUP(E6, 辅表!G:H, 2, FALSE) &amp; F6</f>
        <v>300301101</v>
      </c>
      <c r="B6" s="5" t="str">
        <f>G6</f>
        <v>BB</v>
      </c>
      <c r="C6" s="9" t="s">
        <v>22</v>
      </c>
      <c r="D6" s="9" t="s">
        <v>26</v>
      </c>
      <c r="E6" s="9" t="s">
        <v>27</v>
      </c>
      <c r="F6" s="9" t="s">
        <v>7</v>
      </c>
      <c r="G6" s="4" t="s">
        <v>34</v>
      </c>
      <c r="H6" s="4" t="s">
        <v>32</v>
      </c>
    </row>
    <row r="7" spans="1:8" s="3" customFormat="1" x14ac:dyDescent="0.2">
      <c r="A7" s="4" t="str">
        <f>"30" &amp; VLOOKUP(C7, 辅表!A:B, 2, FALSE) &amp; VLOOKUP(D7, 辅表!D:E, 2, FALSE) &amp; VLOOKUP(E7, 辅表!G:H, 2, FALSE) &amp; F7</f>
        <v>300201101</v>
      </c>
      <c r="B7" s="5" t="str">
        <f t="shared" ref="B7:B8" si="0">G7</f>
        <v>CC</v>
      </c>
      <c r="C7" s="9" t="s">
        <v>13</v>
      </c>
      <c r="D7" s="9" t="s">
        <v>26</v>
      </c>
      <c r="E7" s="9" t="s">
        <v>27</v>
      </c>
      <c r="F7" s="9" t="s">
        <v>7</v>
      </c>
      <c r="G7" s="4" t="s">
        <v>35</v>
      </c>
      <c r="H7" s="4" t="s">
        <v>32</v>
      </c>
    </row>
    <row r="8" spans="1:8" s="3" customFormat="1" x14ac:dyDescent="0.2">
      <c r="A8" s="4" t="str">
        <f>"30" &amp; VLOOKUP(C8, 辅表!A:B, 2, FALSE) &amp; VLOOKUP(D8, 辅表!D:E, 2, FALSE) &amp; VLOOKUP(E8, 辅表!G:H, 2, FALSE) &amp; F8</f>
        <v>300501101</v>
      </c>
      <c r="B8" s="5" t="str">
        <f t="shared" si="0"/>
        <v>DD</v>
      </c>
      <c r="C8" s="9" t="s">
        <v>21</v>
      </c>
      <c r="D8" s="9" t="s">
        <v>26</v>
      </c>
      <c r="E8" s="9" t="s">
        <v>27</v>
      </c>
      <c r="F8" s="9" t="s">
        <v>7</v>
      </c>
      <c r="G8" s="4" t="s">
        <v>36</v>
      </c>
      <c r="H8" s="4" t="s">
        <v>32</v>
      </c>
    </row>
    <row r="9" spans="1:8" s="3" customFormat="1" x14ac:dyDescent="0.2">
      <c r="A9" s="4" t="str">
        <f>"30" &amp; VLOOKUP(C9, 辅表!A:B, 2, FALSE) &amp; VLOOKUP(D9, 辅表!D:E, 2, FALSE) &amp; VLOOKUP(E9, 辅表!G:H, 2, FALSE) &amp; F9</f>
        <v>300101101</v>
      </c>
      <c r="B9" s="5" t="str">
        <f t="shared" ref="B9" si="1">G9</f>
        <v>EE</v>
      </c>
      <c r="C9" s="9" t="s">
        <v>28</v>
      </c>
      <c r="D9" s="9" t="s">
        <v>26</v>
      </c>
      <c r="E9" s="9" t="s">
        <v>27</v>
      </c>
      <c r="F9" s="9" t="s">
        <v>7</v>
      </c>
      <c r="G9" s="4" t="s">
        <v>37</v>
      </c>
      <c r="H9" s="4" t="s">
        <v>32</v>
      </c>
    </row>
  </sheetData>
  <mergeCells count="1">
    <mergeCell ref="A1:XFD1"/>
  </mergeCells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F30C-664B-4BE6-A95F-65B20E251DA6}">
  <dimension ref="A1:C8"/>
  <sheetViews>
    <sheetView tabSelected="1" workbookViewId="0">
      <selection activeCell="L21" sqref="L21"/>
    </sheetView>
  </sheetViews>
  <sheetFormatPr defaultColWidth="9.125" defaultRowHeight="14.25" x14ac:dyDescent="0.2"/>
  <cols>
    <col min="1" max="1" width="19.125" style="3" customWidth="1"/>
    <col min="2" max="2" width="20.75" style="3" customWidth="1"/>
    <col min="3" max="3" width="15" customWidth="1"/>
  </cols>
  <sheetData>
    <row r="1" spans="1:3" s="1" customFormat="1" x14ac:dyDescent="0.2">
      <c r="A1" s="1" t="s">
        <v>0</v>
      </c>
      <c r="C1" s="1" t="s">
        <v>38</v>
      </c>
    </row>
    <row r="2" spans="1:3" s="2" customFormat="1" x14ac:dyDescent="0.2">
      <c r="A2" s="2" t="s">
        <v>5</v>
      </c>
      <c r="C2" s="2" t="s">
        <v>39</v>
      </c>
    </row>
    <row r="3" spans="1:3" s="8" customFormat="1" x14ac:dyDescent="0.2">
      <c r="A3" s="6" t="s">
        <v>4</v>
      </c>
      <c r="B3" s="7" t="s">
        <v>41</v>
      </c>
      <c r="C3" s="6" t="s">
        <v>40</v>
      </c>
    </row>
    <row r="4" spans="1:3" s="3" customFormat="1" x14ac:dyDescent="0.2">
      <c r="A4" s="4" t="str">
        <f xml:space="preserve"> VLOOKUP(B4, IF({0,1},card!A:A,card!B:B), 2, FALSE)</f>
        <v>300301101</v>
      </c>
      <c r="B4" s="14" t="s">
        <v>34</v>
      </c>
      <c r="C4" s="3">
        <v>6</v>
      </c>
    </row>
    <row r="5" spans="1:3" s="3" customFormat="1" x14ac:dyDescent="0.2">
      <c r="A5" s="4" t="str">
        <f xml:space="preserve"> VLOOKUP(B5, IF({0,1},card!A:A,card!B:B), 2, FALSE)</f>
        <v>300401101</v>
      </c>
      <c r="B5" s="14" t="s">
        <v>33</v>
      </c>
      <c r="C5" s="3">
        <v>6</v>
      </c>
    </row>
    <row r="6" spans="1:3" s="3" customFormat="1" x14ac:dyDescent="0.2">
      <c r="A6" s="4" t="str">
        <f xml:space="preserve"> VLOOKUP(B6, IF({0,1},card!A:A,card!B:B), 2, FALSE)</f>
        <v>300201101</v>
      </c>
      <c r="B6" s="14" t="s">
        <v>35</v>
      </c>
      <c r="C6" s="3">
        <v>6</v>
      </c>
    </row>
    <row r="7" spans="1:3" s="3" customFormat="1" x14ac:dyDescent="0.2">
      <c r="A7" s="4" t="str">
        <f xml:space="preserve"> VLOOKUP(B7, IF({0,1},card!A:A,card!B:B), 2, FALSE)</f>
        <v>300501101</v>
      </c>
      <c r="B7" s="14" t="s">
        <v>36</v>
      </c>
      <c r="C7" s="3">
        <v>6</v>
      </c>
    </row>
    <row r="8" spans="1:3" s="3" customFormat="1" x14ac:dyDescent="0.2">
      <c r="A8" s="4" t="str">
        <f xml:space="preserve"> VLOOKUP(B8, IF({0,1},card!A:A,card!B:B), 2, FALSE)</f>
        <v>300101101</v>
      </c>
      <c r="B8" s="14" t="s">
        <v>37</v>
      </c>
      <c r="C8" s="3">
        <v>6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8F3-8024-4E2A-84BD-E3D75A928311}">
  <dimension ref="A1:H8"/>
  <sheetViews>
    <sheetView workbookViewId="0">
      <selection activeCell="D7" sqref="D7"/>
    </sheetView>
  </sheetViews>
  <sheetFormatPr defaultRowHeight="14.25" x14ac:dyDescent="0.2"/>
  <cols>
    <col min="1" max="1" width="15.375" style="11" customWidth="1"/>
    <col min="2" max="2" width="15.375" style="12" customWidth="1"/>
    <col min="4" max="4" width="15.375" style="11" customWidth="1"/>
    <col min="5" max="5" width="15.375" style="12" customWidth="1"/>
    <col min="7" max="7" width="15.375" style="11" customWidth="1"/>
    <col min="8" max="8" width="15.375" style="12" customWidth="1"/>
  </cols>
  <sheetData>
    <row r="1" spans="1:8" x14ac:dyDescent="0.2">
      <c r="A1" s="1" t="s">
        <v>14</v>
      </c>
      <c r="B1" s="1" t="s">
        <v>15</v>
      </c>
      <c r="D1" s="1" t="s">
        <v>16</v>
      </c>
      <c r="E1" s="1" t="s">
        <v>15</v>
      </c>
      <c r="G1" s="1" t="s">
        <v>17</v>
      </c>
      <c r="H1" s="1" t="s">
        <v>15</v>
      </c>
    </row>
    <row r="2" spans="1:8" x14ac:dyDescent="0.2">
      <c r="A2" s="10" t="s">
        <v>28</v>
      </c>
      <c r="B2" s="13" t="s">
        <v>7</v>
      </c>
      <c r="D2" s="10" t="s">
        <v>26</v>
      </c>
      <c r="E2" s="13" t="s">
        <v>7</v>
      </c>
      <c r="G2" s="10" t="s">
        <v>27</v>
      </c>
      <c r="H2" s="13" t="s">
        <v>12</v>
      </c>
    </row>
    <row r="3" spans="1:8" x14ac:dyDescent="0.2">
      <c r="A3" s="10" t="s">
        <v>13</v>
      </c>
      <c r="B3" s="13" t="s">
        <v>18</v>
      </c>
      <c r="D3" s="10"/>
      <c r="E3" s="13"/>
      <c r="G3" s="10"/>
      <c r="H3" s="13"/>
    </row>
    <row r="4" spans="1:8" x14ac:dyDescent="0.2">
      <c r="A4" s="10" t="s">
        <v>22</v>
      </c>
      <c r="B4" s="13" t="s">
        <v>19</v>
      </c>
      <c r="D4" s="10"/>
      <c r="E4" s="13"/>
      <c r="G4" s="10"/>
      <c r="H4" s="13"/>
    </row>
    <row r="5" spans="1:8" x14ac:dyDescent="0.2">
      <c r="A5" s="10" t="s">
        <v>29</v>
      </c>
      <c r="B5" s="13" t="s">
        <v>20</v>
      </c>
      <c r="D5" s="10"/>
      <c r="E5" s="13"/>
      <c r="G5" s="10"/>
      <c r="H5" s="13"/>
    </row>
    <row r="6" spans="1:8" x14ac:dyDescent="0.2">
      <c r="A6" s="10" t="s">
        <v>21</v>
      </c>
      <c r="B6" s="13" t="s">
        <v>30</v>
      </c>
    </row>
    <row r="7" spans="1:8" x14ac:dyDescent="0.2">
      <c r="A7" s="10"/>
      <c r="B7" s="13"/>
    </row>
    <row r="8" spans="1:8" x14ac:dyDescent="0.2">
      <c r="A8" s="10"/>
      <c r="B8" s="1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card</vt:lpstr>
      <vt:lpstr>deck</vt:lpstr>
      <vt:lpstr>辅表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2024-09-14T06:56:50Z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